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mmendation" sheetId="1" state="visible" r:id="rId3"/>
    <sheet name="Scorecard" sheetId="2" state="visible" r:id="rId4"/>
    <sheet name="HIPAA Details" sheetId="3" state="visible" r:id="rId5"/>
    <sheet name="Cost Model" sheetId="4" state="visible" r:id="rId6"/>
    <sheet name="Sources &amp; Cavea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Basil</author>
  </authors>
  <commentList>
    <comment ref="B5" authorId="0">
      <text>
        <r>
          <rPr>
            <sz val="10"/>
            <rFont val="Arial"/>
            <family val="2"/>
          </rPr>
          <t xml:space="preserve">Is BAA available, on what tier, and which services are covered.</t>
        </r>
      </text>
    </comment>
    <comment ref="C5" authorId="0">
      <text>
        <r>
          <rPr>
            <sz val="10"/>
            <rFont val="Arial"/>
            <family val="2"/>
          </rPr>
          <t xml:space="preserve">Backups, PITR, read replicas, extensions; strongly preferred over NoSQL for our schema.</t>
        </r>
      </text>
    </comment>
    <comment ref="D5" authorId="0">
      <text>
        <r>
          <rPr>
            <sz val="10"/>
            <rFont val="Arial"/>
            <family val="2"/>
          </rPr>
          <t xml:space="preserve">SSO, social, email link, MFA, B2C-ready. Firebase/Supabase/Cognito included.</t>
        </r>
      </text>
    </comment>
    <comment ref="E5" authorId="0">
      <text>
        <r>
          <rPr>
            <sz val="10"/>
            <rFont val="Arial"/>
            <family val="2"/>
          </rPr>
          <t xml:space="preserve">Does the platform handle live updates and offline reconciliation or do we build it.</t>
        </r>
      </text>
    </comment>
    <comment ref="F5" authorId="0">
      <text>
        <r>
          <rPr>
            <sz val="10"/>
            <rFont val="Arial"/>
            <family val="2"/>
          </rPr>
          <t xml:space="preserve">How well does it work from Kotlin Multiplatform — REST/GraphQL &gt; proprietary SDK.</t>
        </r>
      </text>
    </comment>
    <comment ref="G5" authorId="0">
      <text>
        <r>
          <rPr>
            <sz val="10"/>
            <rFont val="Arial"/>
            <family val="2"/>
          </rPr>
          <t xml:space="preserve">Local dev, migrations, observability, CLI quality, docs.</t>
        </r>
      </text>
    </comment>
    <comment ref="H5" authorId="0">
      <text>
        <r>
          <rPr>
            <sz val="10"/>
            <rFont val="Arial"/>
            <family val="2"/>
          </rPr>
          <t xml:space="preserve">Projected monthly floor + growth costs at 100k active users.</t>
        </r>
      </text>
    </comment>
    <comment ref="I5" authorId="0">
      <text>
        <r>
          <rPr>
            <sz val="10"/>
            <rFont val="Arial"/>
            <family val="2"/>
          </rPr>
          <t xml:space="preserve">How hard is it to leave; how standard are the primitives.</t>
        </r>
      </text>
    </comment>
    <comment ref="J5" authorId="0">
      <text>
        <r>
          <rPr>
            <sz val="10"/>
            <rFont val="Arial"/>
            <family val="2"/>
          </rPr>
          <t xml:space="preserve">Pager-duty surface for one person.</t>
        </r>
      </text>
    </comment>
    <comment ref="K5" authorId="0">
      <text>
        <r>
          <rPr>
            <sz val="10"/>
            <rFont val="Arial"/>
            <family val="2"/>
          </rPr>
          <t xml:space="preserve">Quality of third-party libs, hiring pool, longevity.</t>
        </r>
      </text>
    </comment>
  </commentList>
</comments>
</file>

<file path=xl/sharedStrings.xml><?xml version="1.0" encoding="utf-8"?>
<sst xmlns="http://schemas.openxmlformats.org/spreadsheetml/2006/main" count="223" uniqueCount="200">
  <si>
    <t xml:space="preserve">Basil — Backend Platform Comparison</t>
  </si>
  <si>
    <t xml:space="preserve">HIPAA-gated scored comparison · April 2026 · v0.1</t>
  </si>
  <si>
    <t xml:space="preserve">Context</t>
  </si>
  <si>
    <t xml:space="preserve">Basil will plan for HIPAA from day one. That removes several otherwise strong platforms from the shortlist, because they either do not offer a BAA at all, or only on tiers that are not right-sized for a pre-product-market-fit startup. This model scores the remaining realistic candidates against weighted criteria.</t>
  </si>
  <si>
    <t xml:space="preserve">TL;DR Recommendation</t>
  </si>
  <si>
    <t xml:space="preserve">Start on Supabase Team plan (HIPAA add-on, ~$599/mo) for MVP + closed beta. It gives you Postgres, auth, realtime, storage, and a BAA in a single vendor so one-person ops stays sane. Design the backend with a thin, platform-agnostic API layer (your own REST/GraphQL service in front of Postgres) so migration to AWS with Aurora + Cognito + AppSync remains possible if the company crosses into enterprise / payor deals where AWS is table stakes.</t>
  </si>
  <si>
    <t xml:space="preserve">Shortlist at a glance</t>
  </si>
  <si>
    <t xml:space="preserve">Platform</t>
  </si>
  <si>
    <t xml:space="preserve">BAA posture</t>
  </si>
  <si>
    <t xml:space="preserve">Monthly floor (HIPAA)</t>
  </si>
  <si>
    <t xml:space="preserve">Best for</t>
  </si>
  <si>
    <t xml:space="preserve">Verdict</t>
  </si>
  <si>
    <t xml:space="preserve">Score</t>
  </si>
  <si>
    <t xml:space="preserve">Supabase (Team + HIPAA)</t>
  </si>
  <si>
    <t xml:space="preserve">BAA on Team plan</t>
  </si>
  <si>
    <t xml:space="preserve">$599</t>
  </si>
  <si>
    <t xml:space="preserve">MVP → v1 for a solo dev</t>
  </si>
  <si>
    <t xml:space="preserve">Recommended starter</t>
  </si>
  <si>
    <t xml:space="preserve">AWS (Aurora+Cognito+AppSync)</t>
  </si>
  <si>
    <t xml:space="preserve">BAA default; most mature</t>
  </si>
  <si>
    <t xml:space="preserve">~$200–400 at low scale; grows fast</t>
  </si>
  <si>
    <t xml:space="preserve">Scale, enterprise sales</t>
  </si>
  <si>
    <t xml:space="preserve">Migrate target</t>
  </si>
  <si>
    <t xml:space="preserve">GCP (Firestore+Identity+BAA)</t>
  </si>
  <si>
    <t xml:space="preserve">BAA on eligible services only</t>
  </si>
  <si>
    <t xml:space="preserve">~$150–300</t>
  </si>
  <si>
    <t xml:space="preserve">If team already in GCP</t>
  </si>
  <si>
    <t xml:space="preserve">Viable; Firestore scaling gotchas</t>
  </si>
  <si>
    <t xml:space="preserve">Firebase (selective)</t>
  </si>
  <si>
    <t xml:space="preserve">BAA on some services, not all</t>
  </si>
  <si>
    <t xml:space="preserve">~$100–300</t>
  </si>
  <si>
    <t xml:space="preserve">Tempting but risky scope</t>
  </si>
  <si>
    <t xml:space="preserve">Avoid unless surgically scoped</t>
  </si>
  <si>
    <t xml:space="preserve">Aptible</t>
  </si>
  <si>
    <t xml:space="preserve">HIPAA-native PaaS</t>
  </si>
  <si>
    <t xml:space="preserve">~$499</t>
  </si>
  <si>
    <t xml:space="preserve">Wanting compliance out-of-the-box</t>
  </si>
  <si>
    <t xml:space="preserve">Viable but pricey per-unit</t>
  </si>
  <si>
    <t xml:space="preserve">Fly.io (Enterprise)</t>
  </si>
  <si>
    <t xml:space="preserve">BAA on Enterprise</t>
  </si>
  <si>
    <t xml:space="preserve">~Custom</t>
  </si>
  <si>
    <t xml:space="preserve">Edge-distributed container apps</t>
  </si>
  <si>
    <t xml:space="preserve">Solid infra, immature managed DB</t>
  </si>
  <si>
    <t xml:space="preserve">Azure (HIPAA-eligible)</t>
  </si>
  <si>
    <t xml:space="preserve">BAA default</t>
  </si>
  <si>
    <t xml:space="preserve">~$200–400</t>
  </si>
  <si>
    <t xml:space="preserve">Microsoft-shop enterprises</t>
  </si>
  <si>
    <t xml:space="preserve">Fine, but no reason to pick</t>
  </si>
  <si>
    <t xml:space="preserve">Convex</t>
  </si>
  <si>
    <t xml:space="preserve">No public HIPAA BAA</t>
  </si>
  <si>
    <t xml:space="preserve">n/a</t>
  </si>
  <si>
    <t xml:space="preserve">(non-HIPAA projects)</t>
  </si>
  <si>
    <t xml:space="preserve">Disqualified for current scope</t>
  </si>
  <si>
    <t xml:space="preserve">How we decided</t>
  </si>
  <si>
    <t xml:space="preserve">1. HIPAA BAA must be available at a price point that works for a pre-revenue startup. Hyperscalers all qualify; most startup-friendly PaaS do not.</t>
  </si>
  <si>
    <t xml:space="preserve">2. One-person ops: strong preference for managed Postgres + managed auth + managed realtime from a single vendor.</t>
  </si>
  <si>
    <t xml:space="preserve">3. KMP-friendly: any backend we pick talks HTTP/REST/GraphQL from Kotlin Multiplatform without heroics. We explicitly do not want a proprietary KMP-hostile SDK on the critical path.</t>
  </si>
  <si>
    <t xml:space="preserve">4. Portability: we accept slight migration cost later in exchange for speed now. Escape hatch preserved via an API layer we own.</t>
  </si>
  <si>
    <t xml:space="preserve">5. Data residency: US-only region for launch; EU region added when we expand.</t>
  </si>
  <si>
    <t xml:space="preserve">Weighted Scorecard (1–5; higher is better)</t>
  </si>
  <si>
    <t xml:space="preserve">Blue cells are editable inputs. Weights in row 4 sum to 100%. Weighted score in row 16+ is =SUMPRODUCT(scores, weights).</t>
  </si>
  <si>
    <t xml:space="preserve">Σ weights</t>
  </si>
  <si>
    <t xml:space="preserve">Weight →</t>
  </si>
  <si>
    <t xml:space="preserve">Criterion</t>
  </si>
  <si>
    <t xml:space="preserve">HIPAA / BAA posture</t>
  </si>
  <si>
    <t xml:space="preserve">Managed Postgres quality</t>
  </si>
  <si>
    <t xml:space="preserve">Auth maturity</t>
  </si>
  <si>
    <t xml:space="preserve">Realtime / offline sync</t>
  </si>
  <si>
    <t xml:space="preserve">KMP client fit</t>
  </si>
  <si>
    <t xml:space="preserve">Dev ergonomics / DX</t>
  </si>
  <si>
    <t xml:space="preserve">Cost at 100k MAU</t>
  </si>
  <si>
    <t xml:space="preserve">Vendor lock-in risk</t>
  </si>
  <si>
    <t xml:space="preserve">Ops burden (solo-dev)</t>
  </si>
  <si>
    <t xml:space="preserve">Ecosystem / community</t>
  </si>
  <si>
    <t xml:space="preserve">Weighted Score</t>
  </si>
  <si>
    <t xml:space="preserve">Rank</t>
  </si>
  <si>
    <t xml:space="preserve">Supabase (Team+HIPAA)</t>
  </si>
  <si>
    <t xml:space="preserve">GCP (Firestore+Identity)</t>
  </si>
  <si>
    <t xml:space="preserve">Aptible PaaS</t>
  </si>
  <si>
    <t xml:space="preserve">Render (Team+HIPAA)</t>
  </si>
  <si>
    <t xml:space="preserve">Convex (non-HIPAA)</t>
  </si>
  <si>
    <t xml:space="preserve">Scoring rubric</t>
  </si>
  <si>
    <t xml:space="preserve">5 = Best in category; clearly the right choice on this dimension</t>
  </si>
  <si>
    <t xml:space="preserve">4 = Strong</t>
  </si>
  <si>
    <t xml:space="preserve">3 = Adequate</t>
  </si>
  <si>
    <t xml:space="preserve">2 = Weak but workable</t>
  </si>
  <si>
    <t xml:space="preserve">1 = Poor</t>
  </si>
  <si>
    <t xml:space="preserve">0 = Disqualifying (e.g. no HIPAA BAA when HIPAA is required)</t>
  </si>
  <si>
    <t xml:space="preserve">HIPAA / BAA posture by platform</t>
  </si>
  <si>
    <t xml:space="preserve">What you actually need to know before signing anything.</t>
  </si>
  <si>
    <t xml:space="preserve">BAA available?</t>
  </si>
  <si>
    <t xml:space="preserve">Eligible services / caveats</t>
  </si>
  <si>
    <t xml:space="preserve">What to watch out for</t>
  </si>
  <si>
    <t xml:space="preserve">AWS</t>
  </si>
  <si>
    <t xml:space="preserve">Yes, default on Business Support+</t>
  </si>
  <si>
    <t xml:space="preserve">Most services eligible; check the AWS BAA service list. Aurora, Cognito, AppSync, S3, Lambda, CloudFront, KMS all covered.</t>
  </si>
  <si>
    <t xml:space="preserve">You sign one BAA with AWS; still must configure encryption, logging, KMS. Support tier requirement raises floor cost.</t>
  </si>
  <si>
    <t xml:space="preserve">GCP</t>
  </si>
  <si>
    <t xml:space="preserve">Yes</t>
  </si>
  <si>
    <t xml:space="preserve">Eligible services listed in Google's BAA; Firestore, Cloud Run, Cloud SQL, Identity Platform, Pub/Sub covered.</t>
  </si>
  <si>
    <t xml:space="preserve">Firebase services need individual review — not all Firebase is HIPAA-covered. Analytics and Crashlytics are NOT covered.</t>
  </si>
  <si>
    <t xml:space="preserve">Azure</t>
  </si>
  <si>
    <t xml:space="preserve">Most Azure services eligible under Microsoft's BAA.</t>
  </si>
  <si>
    <t xml:space="preserve">Sensible if your team is already in Microsoft's world; not obviously better than AWS for a greenfield app.</t>
  </si>
  <si>
    <t xml:space="preserve">Firebase (selectively)</t>
  </si>
  <si>
    <t xml:space="preserve">Partial — service by service</t>
  </si>
  <si>
    <t xml:space="preserve">HIPAA-eligible: Cloud Firestore, Cloud Functions, Cloud Storage, Hosting, App Check. NOT eligible: Analytics, Crashlytics, Realtime Database, Cloud Messaging (FCM) data.</t>
  </si>
  <si>
    <t xml:space="preserve">Easy to accidentally put PHI into a non-eligible Firebase service. Operationally risky for HIPAA.</t>
  </si>
  <si>
    <t xml:space="preserve">Supabase</t>
  </si>
  <si>
    <t xml:space="preserve">Yes, on Team plan + HIPAA add-on</t>
  </si>
  <si>
    <t xml:space="preserve">Postgres, Auth, Realtime, Storage, Edge Functions all covered under BAA when HIPAA add-on is enabled. $599/mo floor including Team plan + HIPAA add-on.</t>
  </si>
  <si>
    <t xml:space="preserve">Relatively new HIPAA offering (GA 2024). Community-maintained open source so you can self-host if ever needed.</t>
  </si>
  <si>
    <t xml:space="preserve">Yes, native</t>
  </si>
  <si>
    <t xml:space="preserve">PaaS built for HIPAA-regulated software; ships with encryption, logging, audit trail, intrusion detection.</t>
  </si>
  <si>
    <t xml:space="preserve">Higher per-unit cost; you're paying for compliance-as-a-service. Excellent if you want to trade money for ops burden.</t>
  </si>
  <si>
    <t xml:space="preserve">Fly.io</t>
  </si>
  <si>
    <t xml:space="preserve">Yes, on Enterprise plan</t>
  </si>
  <si>
    <t xml:space="preserve">Containers + managed Postgres (still labeled beta at last check). BAA available with Enterprise.</t>
  </si>
  <si>
    <t xml:space="preserve">Managed Postgres maturity; volume-based pricing; less friendly for 1-person ops than Supabase.</t>
  </si>
  <si>
    <t xml:space="preserve">Render</t>
  </si>
  <si>
    <t xml:space="preserve">Yes, on Team/Enterprise</t>
  </si>
  <si>
    <t xml:space="preserve">Managed Postgres + services + background workers; BAA on Team HIPAA tier.</t>
  </si>
  <si>
    <t xml:space="preserve">Smaller ecosystem than Fly/Supabase; good dev UX; fine option.</t>
  </si>
  <si>
    <t xml:space="preserve">No public BAA at time of writing</t>
  </si>
  <si>
    <t xml:space="preserve">Reactive backend with excellent DX, but not HIPAA-eligible per public docs.</t>
  </si>
  <si>
    <t xml:space="preserve">Disqualified from this selection if PHI ever lives server-side. Confirm directly with Convex before using.</t>
  </si>
  <si>
    <t xml:space="preserve">Vercel / Netlify</t>
  </si>
  <si>
    <t xml:space="preserve">Enterprise BAA possible</t>
  </si>
  <si>
    <t xml:space="preserve">For static/edge functions only; not for PHI storage.</t>
  </si>
  <si>
    <t xml:space="preserve">Use as edge/CDN in front of a HIPAA-eligible origin; never as a primary data store.</t>
  </si>
  <si>
    <t xml:space="preserve">Auth providers (Auth0, Clerk, Stytch)</t>
  </si>
  <si>
    <t xml:space="preserve">Auth0: Yes. Clerk: HIPAA tier. Stytch: HIPAA tier.</t>
  </si>
  <si>
    <t xml:space="preserve">Review whether you need a separate auth vendor if the backend already provides it (Supabase Auth / Cognito).</t>
  </si>
  <si>
    <t xml:space="preserve">Each extra BAA is an extra vendor to manage. Prefer bundling unless there's a strong reason.</t>
  </si>
  <si>
    <t xml:space="preserve">LLM providers</t>
  </si>
  <si>
    <t xml:space="preserve">OpenAI: Yes (Enterprise + API w/ BAA). Anthropic: Yes (via AWS Bedrock or enterprise).</t>
  </si>
  <si>
    <t xml:space="preserve">Essential for the v2 assistant. Confirm BAA before any user PHI is sent in a prompt.</t>
  </si>
  <si>
    <t xml:space="preserve">Cheaper consumer tiers typically do not offer BAAs — design so the LLM path can be isolated.</t>
  </si>
  <si>
    <t xml:space="preserve">Analytics / Crashlytics</t>
  </si>
  <si>
    <t xml:space="preserve">PostHog Cloud: HIPAA tier. Aptabase: self-hostable. Sentry: BAA on Business.</t>
  </si>
  <si>
    <t xml:space="preserve">Do not send PHI here. Use user IDs that are not PHI.</t>
  </si>
  <si>
    <t xml:space="preserve">A common source of HIPAA compliance drift — audit what you send before GA.</t>
  </si>
  <si>
    <t xml:space="preserve">Monthly cost at scale (order-of-magnitude)</t>
  </si>
  <si>
    <t xml:space="preserve">Blue cells are assumptions you can change. Black cells are formulas. Caveat: public pricing; real cost varies.</t>
  </si>
  <si>
    <t xml:space="preserve">Assumptions (editable)</t>
  </si>
  <si>
    <t xml:space="preserve">Assumption</t>
  </si>
  <si>
    <t xml:space="preserve">Value</t>
  </si>
  <si>
    <t xml:space="preserve">Unit</t>
  </si>
  <si>
    <t xml:space="preserve">Notes</t>
  </si>
  <si>
    <t xml:space="preserve">Per-user monthly DB storage (MB)</t>
  </si>
  <si>
    <t xml:space="preserve">MB</t>
  </si>
  <si>
    <t xml:space="preserve">Estimate: ~150 log entries/mo + CGM data if synced</t>
  </si>
  <si>
    <t xml:space="preserve">Per-user monthly egress (MB)</t>
  </si>
  <si>
    <t xml:space="preserve">App pulls + report export</t>
  </si>
  <si>
    <t xml:space="preserve">Per-user monthly request count</t>
  </si>
  <si>
    <t xml:space="preserve">requests</t>
  </si>
  <si>
    <t xml:space="preserve">Assume 50 req/day per MAU average</t>
  </si>
  <si>
    <t xml:space="preserve">Monthly active users (MAU)</t>
  </si>
  <si>
    <t xml:space="preserve">users</t>
  </si>
  <si>
    <t xml:space="preserve">Change this to re-run all scenarios</t>
  </si>
  <si>
    <t xml:space="preserve">Paid user %</t>
  </si>
  <si>
    <t xml:space="preserve">%</t>
  </si>
  <si>
    <t xml:space="preserve">No monetization until v2; placeholder for later</t>
  </si>
  <si>
    <t xml:space="preserve">Estimated monthly floor by platform (US region)</t>
  </si>
  <si>
    <t xml:space="preserve">Fixed monthly floor ($)</t>
  </si>
  <si>
    <t xml:space="preserve">Per-MAU variable ($)</t>
  </si>
  <si>
    <t xml:space="preserve">Est. monthly at current MAU ($)</t>
  </si>
  <si>
    <t xml:space="preserve">Supabase (Team + HIPAA add-on)</t>
  </si>
  <si>
    <t xml:space="preserve">Flat Team tier $599 (incl. HIPAA add-on); DB/egress included up to generous caps; scales in tier bumps.</t>
  </si>
  <si>
    <t xml:space="preserve">AWS (Aurora Serverless + Cognito + AppSync)</t>
  </si>
  <si>
    <t xml:space="preserve">Aurora Serverless min; Cognito free up to 50k MAU; AppSync per-request; S3 per-GB.</t>
  </si>
  <si>
    <t xml:space="preserve">GCP (Firestore + Identity Platform)</t>
  </si>
  <si>
    <t xml:space="preserve">Firestore per-read/write pricing can spike; audit query patterns.</t>
  </si>
  <si>
    <t xml:space="preserve">Firebase (Firestore + Cloud Functions)</t>
  </si>
  <si>
    <t xml:space="preserve">Similar to GCP; watch Cloud Function invocations.</t>
  </si>
  <si>
    <t xml:space="preserve">$499 Starter; scales per-container; simpler to reason about.</t>
  </si>
  <si>
    <t xml:space="preserve">Volume-based; cheaper at edge but managed Postgres less mature.</t>
  </si>
  <si>
    <t xml:space="preserve">Azure (Cosmos DB / SQL + B2C)</t>
  </si>
  <si>
    <t xml:space="preserve">Comparable to AWS; pick if already Microsoft-shop.</t>
  </si>
  <si>
    <t xml:space="preserve">Render (Team HIPAA)</t>
  </si>
  <si>
    <t xml:space="preserve">Smaller ecosystem but clean UX; Postgres good.</t>
  </si>
  <si>
    <t xml:space="preserve">Scenario — cost at 10k / 100k / 1M MAU</t>
  </si>
  <si>
    <t xml:space="preserve">@ 10k MAU ($/mo)</t>
  </si>
  <si>
    <t xml:space="preserve">@ 100k MAU ($/mo)</t>
  </si>
  <si>
    <t xml:space="preserve">@ 1M MAU ($/mo)</t>
  </si>
  <si>
    <t xml:space="preserve">Sources &amp; caveats</t>
  </si>
  <si>
    <t xml:space="preserve">Public pricing and BAA posture change frequently. Confirm before committing.</t>
  </si>
  <si>
    <t xml:space="preserve">Pricing</t>
  </si>
  <si>
    <t xml:space="preserve">All dollar figures are order-of-magnitude from public pricing pages, not negotiated rates. Actual cost at scale varies 2–5x based on query patterns, data transfer, and support tier.</t>
  </si>
  <si>
    <t xml:space="preserve">HIPAA BAA availability</t>
  </si>
  <si>
    <t xml:space="preserve">Verified against each vendor's public docs as of early 2026. Vendor offerings change — confirm at contract time.</t>
  </si>
  <si>
    <t xml:space="preserve">Firebase caveat</t>
  </si>
  <si>
    <t xml:space="preserve">Firebase is the most compliance-risky option because individual services have different BAA statuses. Treat as avoid-unless-surgically-scoped.</t>
  </si>
  <si>
    <t xml:space="preserve">Convex is excellent for non-PHI workloads. Basil's HIPAA-from-day-one posture rules it out unless it ships a BAA offering.</t>
  </si>
  <si>
    <t xml:space="preserve">Scoring subjectivity</t>
  </si>
  <si>
    <t xml:space="preserve">Scores are one person's informed opinion, not a formal benchmark. Edit weights and scores to reflect your own reading of the tradeoffs.</t>
  </si>
  <si>
    <t xml:space="preserve">Not included</t>
  </si>
  <si>
    <t xml:space="preserve">Heroku (HIPAA offering discontinued to new customers), DigitalOcean (no HIPAA BAA), Railway (no HIPAA), PlanetScale (no HIPAA), Neon (no public HIPAA BAA at time of writing).</t>
  </si>
  <si>
    <t xml:space="preserve">Recommended next step</t>
  </si>
  <si>
    <t xml:space="preserve">Once the decision is made, spike a 2-week proof-of-concept: auth, a protected endpoint, an encrypted-at-rest log write, and a full round-trip from the Kotlin app. That surfaces ergonomics problems faster than any comparison.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</si>
</sst>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%"/>
    <numFmt numFmtId="167" formatCode="\$#,##0"/>
    <numFmt numFmtId="168" formatCode="\$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D4E41"/>
      <name val="Arial"/>
      <family val="0"/>
      <charset val="1"/>
    </font>
    <font>
      <i val="true"/>
      <sz val="11"/>
      <color rgb="FF546857"/>
      <name val="Arial"/>
      <family val="0"/>
      <charset val="1"/>
    </font>
    <font>
      <b val="true"/>
      <sz val="11"/>
      <color rgb="FF27342B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EDE6"/>
        <bgColor rgb="FFF0EEE9"/>
      </patternFill>
    </fill>
    <fill>
      <patternFill patternType="solid">
        <fgColor rgb="FF3D4E41"/>
        <bgColor rgb="FF27342B"/>
      </patternFill>
    </fill>
    <fill>
      <patternFill patternType="solid">
        <fgColor rgb="FFF0EEE9"/>
        <bgColor rgb="FFE8ED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5BC"/>
      </left>
      <right style="thin">
        <color rgb="FFC9C5BC"/>
      </right>
      <top style="thin">
        <color rgb="FFC9C5BC"/>
      </top>
      <bottom style="thin">
        <color rgb="FFC9C5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5BC"/>
      <rgbColor rgb="FF808080"/>
      <rgbColor rgb="FF9999FF"/>
      <rgbColor rgb="FF993366"/>
      <rgbColor rgb="FFF0EEE9"/>
      <rgbColor rgb="FFE8ED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6857"/>
      <rgbColor rgb="FF969696"/>
      <rgbColor rgb="FF003366"/>
      <rgbColor rgb="FF339966"/>
      <rgbColor rgb="FF003300"/>
      <rgbColor rgb="FF3D4E41"/>
      <rgbColor rgb="FF993300"/>
      <rgbColor rgb="FF993366"/>
      <rgbColor rgb="FF333399"/>
      <rgbColor rgb="FF2734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10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1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21.75" hidden="false" customHeight="true" outlineLevel="0" collapsed="false">
      <c r="A6" s="4"/>
      <c r="B6" s="4"/>
      <c r="C6" s="4"/>
      <c r="D6" s="4"/>
      <c r="E6" s="4"/>
      <c r="F6" s="4"/>
    </row>
    <row r="7" customFormat="false" ht="21.75" hidden="false" customHeight="true" outlineLevel="0" collapsed="false">
      <c r="A7" s="4"/>
      <c r="B7" s="4"/>
      <c r="C7" s="4"/>
      <c r="D7" s="4"/>
      <c r="E7" s="4"/>
      <c r="F7" s="4"/>
    </row>
    <row r="9" customFormat="false" ht="15" hidden="false" customHeight="true" outlineLevel="0" collapsed="false">
      <c r="A9" s="3" t="s">
        <v>4</v>
      </c>
      <c r="B9" s="3"/>
      <c r="C9" s="3"/>
      <c r="D9" s="3"/>
      <c r="E9" s="3"/>
      <c r="F9" s="3"/>
    </row>
    <row r="10" customFormat="false" ht="21.75" hidden="false" customHeight="true" outlineLevel="0" collapsed="false">
      <c r="A10" s="4" t="s">
        <v>5</v>
      </c>
      <c r="B10" s="4"/>
      <c r="C10" s="4"/>
      <c r="D10" s="4"/>
      <c r="E10" s="4"/>
      <c r="F10" s="4"/>
    </row>
    <row r="11" customFormat="false" ht="21.75" hidden="false" customHeight="true" outlineLevel="0" collapsed="false">
      <c r="A11" s="4"/>
      <c r="B11" s="4"/>
      <c r="C11" s="4"/>
      <c r="D11" s="4"/>
      <c r="E11" s="4"/>
      <c r="F11" s="4"/>
    </row>
    <row r="12" customFormat="false" ht="21.75" hidden="false" customHeight="true" outlineLevel="0" collapsed="false">
      <c r="A12" s="4"/>
      <c r="B12" s="4"/>
      <c r="C12" s="4"/>
      <c r="D12" s="4"/>
      <c r="E12" s="4"/>
      <c r="F12" s="4"/>
    </row>
    <row r="13" customFormat="false" ht="21.75" hidden="false" customHeight="true" outlineLevel="0" collapsed="false">
      <c r="A13" s="4"/>
      <c r="B13" s="4"/>
      <c r="C13" s="4"/>
      <c r="D13" s="4"/>
      <c r="E13" s="4"/>
      <c r="F13" s="4"/>
    </row>
    <row r="15" customFormat="false" ht="15" hidden="false" customHeight="true" outlineLevel="0" collapsed="false">
      <c r="A15" s="3" t="s">
        <v>6</v>
      </c>
      <c r="B15" s="3"/>
      <c r="C15" s="3"/>
      <c r="D15" s="3"/>
      <c r="E15" s="3"/>
      <c r="F15" s="3"/>
    </row>
    <row r="16" customFormat="false" ht="31.5" hidden="false" customHeight="true" outlineLevel="0" collapsed="false">
      <c r="A16" s="5" t="s">
        <v>7</v>
      </c>
      <c r="B16" s="5" t="s">
        <v>8</v>
      </c>
      <c r="C16" s="5" t="s">
        <v>9</v>
      </c>
      <c r="D16" s="5" t="s">
        <v>10</v>
      </c>
      <c r="E16" s="5" t="s">
        <v>11</v>
      </c>
      <c r="F16" s="5" t="s">
        <v>12</v>
      </c>
    </row>
    <row r="17" customFormat="false" ht="30" hidden="false" customHeight="true" outlineLevel="0" collapsed="false">
      <c r="A17" s="6" t="s">
        <v>13</v>
      </c>
      <c r="B17" s="6" t="s">
        <v>14</v>
      </c>
      <c r="C17" s="7" t="s">
        <v>15</v>
      </c>
      <c r="D17" s="6" t="s">
        <v>16</v>
      </c>
      <c r="E17" s="6" t="s">
        <v>17</v>
      </c>
      <c r="F17" s="8" t="n">
        <f aca="false">Scorecard!L6</f>
        <v>4.35</v>
      </c>
    </row>
    <row r="18" customFormat="false" ht="30" hidden="false" customHeight="true" outlineLevel="0" collapsed="false">
      <c r="A18" s="6" t="s">
        <v>18</v>
      </c>
      <c r="B18" s="6" t="s">
        <v>19</v>
      </c>
      <c r="C18" s="7" t="s">
        <v>20</v>
      </c>
      <c r="D18" s="6" t="s">
        <v>21</v>
      </c>
      <c r="E18" s="6" t="s">
        <v>22</v>
      </c>
      <c r="F18" s="8" t="n">
        <f aca="false">Scorecard!L7</f>
        <v>3.81</v>
      </c>
    </row>
    <row r="19" customFormat="false" ht="30" hidden="false" customHeight="true" outlineLevel="0" collapsed="false">
      <c r="A19" s="6" t="s">
        <v>23</v>
      </c>
      <c r="B19" s="6" t="s">
        <v>24</v>
      </c>
      <c r="C19" s="7" t="s">
        <v>25</v>
      </c>
      <c r="D19" s="6" t="s">
        <v>26</v>
      </c>
      <c r="E19" s="6" t="s">
        <v>27</v>
      </c>
      <c r="F19" s="8" t="n">
        <f aca="false">Scorecard!L8</f>
        <v>3.6</v>
      </c>
    </row>
    <row r="20" customFormat="false" ht="30" hidden="false" customHeight="true" outlineLevel="0" collapsed="false">
      <c r="A20" s="6" t="s">
        <v>28</v>
      </c>
      <c r="B20" s="6" t="s">
        <v>29</v>
      </c>
      <c r="C20" s="7" t="s">
        <v>30</v>
      </c>
      <c r="D20" s="6" t="s">
        <v>31</v>
      </c>
      <c r="E20" s="6" t="s">
        <v>32</v>
      </c>
      <c r="F20" s="8" t="n">
        <f aca="false">Scorecard!L9</f>
        <v>3.53</v>
      </c>
    </row>
    <row r="21" customFormat="false" ht="30" hidden="false" customHeight="true" outlineLevel="0" collapsed="false">
      <c r="A21" s="6" t="s">
        <v>33</v>
      </c>
      <c r="B21" s="6" t="s">
        <v>34</v>
      </c>
      <c r="C21" s="7" t="s">
        <v>35</v>
      </c>
      <c r="D21" s="6" t="s">
        <v>36</v>
      </c>
      <c r="E21" s="6" t="s">
        <v>37</v>
      </c>
      <c r="F21" s="8" t="n">
        <f aca="false">Scorecard!L10</f>
        <v>3.53</v>
      </c>
    </row>
    <row r="22" customFormat="false" ht="30" hidden="false" customHeight="true" outlineLevel="0" collapsed="false">
      <c r="A22" s="6" t="s">
        <v>38</v>
      </c>
      <c r="B22" s="6" t="s">
        <v>39</v>
      </c>
      <c r="C22" s="7" t="s">
        <v>40</v>
      </c>
      <c r="D22" s="6" t="s">
        <v>41</v>
      </c>
      <c r="E22" s="6" t="s">
        <v>42</v>
      </c>
      <c r="F22" s="8" t="n">
        <f aca="false">Scorecard!L11</f>
        <v>3.36</v>
      </c>
    </row>
    <row r="23" customFormat="false" ht="30" hidden="false" customHeight="true" outlineLevel="0" collapsed="false">
      <c r="A23" s="6" t="s">
        <v>43</v>
      </c>
      <c r="B23" s="6" t="s">
        <v>44</v>
      </c>
      <c r="C23" s="7" t="s">
        <v>45</v>
      </c>
      <c r="D23" s="6" t="s">
        <v>46</v>
      </c>
      <c r="E23" s="6" t="s">
        <v>47</v>
      </c>
      <c r="F23" s="8" t="n">
        <f aca="false">Scorecard!L12</f>
        <v>3.66</v>
      </c>
    </row>
    <row r="24" customFormat="false" ht="30" hidden="false" customHeight="true" outlineLevel="0" collapsed="false">
      <c r="A24" s="6" t="s">
        <v>48</v>
      </c>
      <c r="B24" s="6" t="s">
        <v>49</v>
      </c>
      <c r="C24" s="7" t="s">
        <v>50</v>
      </c>
      <c r="D24" s="6" t="s">
        <v>51</v>
      </c>
      <c r="E24" s="6" t="s">
        <v>52</v>
      </c>
      <c r="F24" s="8" t="n">
        <f aca="false">Scorecard!L14</f>
        <v>3.08</v>
      </c>
    </row>
    <row r="27" customFormat="false" ht="15" hidden="false" customHeight="true" outlineLevel="0" collapsed="false">
      <c r="A27" s="3" t="s">
        <v>53</v>
      </c>
      <c r="B27" s="3"/>
      <c r="C27" s="3"/>
      <c r="D27" s="3"/>
      <c r="E27" s="3"/>
      <c r="F27" s="3"/>
    </row>
    <row r="28" customFormat="false" ht="30" hidden="false" customHeight="true" outlineLevel="0" collapsed="false">
      <c r="A28" s="6" t="s">
        <v>54</v>
      </c>
      <c r="B28" s="6"/>
      <c r="C28" s="6"/>
      <c r="D28" s="6"/>
      <c r="E28" s="6"/>
      <c r="F28" s="6"/>
    </row>
    <row r="29" customFormat="false" ht="30" hidden="false" customHeight="true" outlineLevel="0" collapsed="false">
      <c r="A29" s="6" t="s">
        <v>55</v>
      </c>
      <c r="B29" s="6"/>
      <c r="C29" s="6"/>
      <c r="D29" s="6"/>
      <c r="E29" s="6"/>
      <c r="F29" s="6"/>
    </row>
    <row r="30" customFormat="false" ht="30" hidden="false" customHeight="true" outlineLevel="0" collapsed="false">
      <c r="A30" s="6" t="s">
        <v>56</v>
      </c>
      <c r="B30" s="6"/>
      <c r="C30" s="6"/>
      <c r="D30" s="6"/>
      <c r="E30" s="6"/>
      <c r="F30" s="6"/>
    </row>
    <row r="31" customFormat="false" ht="30" hidden="false" customHeight="true" outlineLevel="0" collapsed="false">
      <c r="A31" s="6" t="s">
        <v>57</v>
      </c>
      <c r="B31" s="6"/>
      <c r="C31" s="6"/>
      <c r="D31" s="6"/>
      <c r="E31" s="6"/>
      <c r="F31" s="6"/>
    </row>
    <row r="32" customFormat="false" ht="30" hidden="false" customHeight="true" outlineLevel="0" collapsed="false">
      <c r="A32" s="6" t="s">
        <v>58</v>
      </c>
      <c r="B32" s="6"/>
      <c r="C32" s="6"/>
      <c r="D32" s="6"/>
      <c r="E32" s="6"/>
      <c r="F32" s="6"/>
    </row>
  </sheetData>
  <mergeCells count="13">
    <mergeCell ref="A1:F1"/>
    <mergeCell ref="A2:F2"/>
    <mergeCell ref="A4:F4"/>
    <mergeCell ref="A5:F7"/>
    <mergeCell ref="A9:F9"/>
    <mergeCell ref="A10:F13"/>
    <mergeCell ref="A15:F15"/>
    <mergeCell ref="A27:F27"/>
    <mergeCell ref="A28:F28"/>
    <mergeCell ref="A29:F29"/>
    <mergeCell ref="A30:F30"/>
    <mergeCell ref="A31:F31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1" min="2" style="0" width="10"/>
    <col collapsed="false" customWidth="true" hidden="false" outlineLevel="0" max="12" min="12" style="0" width="14"/>
    <col collapsed="false" customWidth="true" hidden="false" outlineLevel="0" max="13" min="13" style="0" width="8"/>
  </cols>
  <sheetData>
    <row r="1" customFormat="false" ht="22.05" hidden="false" customHeight="fals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L3" s="9" t="s">
        <v>61</v>
      </c>
    </row>
    <row r="4" customFormat="false" ht="15" hidden="false" customHeight="false" outlineLevel="0" collapsed="false">
      <c r="A4" s="10" t="s">
        <v>62</v>
      </c>
      <c r="B4" s="11" t="n">
        <v>0.2</v>
      </c>
      <c r="C4" s="11" t="n">
        <v>0.1</v>
      </c>
      <c r="D4" s="11" t="n">
        <v>0.1</v>
      </c>
      <c r="E4" s="11" t="n">
        <v>0.1</v>
      </c>
      <c r="F4" s="11" t="n">
        <v>0.08</v>
      </c>
      <c r="G4" s="11" t="n">
        <v>0.1</v>
      </c>
      <c r="H4" s="11" t="n">
        <v>0.12</v>
      </c>
      <c r="I4" s="11" t="n">
        <v>0.08</v>
      </c>
      <c r="J4" s="11" t="n">
        <v>0.07</v>
      </c>
      <c r="K4" s="11" t="n">
        <v>0.05</v>
      </c>
      <c r="L4" s="12" t="n">
        <f aca="false">SUM(B4:K4)</f>
        <v>1</v>
      </c>
    </row>
    <row r="5" customFormat="false" ht="39.75" hidden="false" customHeight="true" outlineLevel="0" collapsed="false">
      <c r="A5" s="13" t="s">
        <v>63</v>
      </c>
      <c r="B5" s="5" t="s">
        <v>64</v>
      </c>
      <c r="C5" s="5" t="s">
        <v>65</v>
      </c>
      <c r="D5" s="5" t="s">
        <v>66</v>
      </c>
      <c r="E5" s="5" t="s">
        <v>67</v>
      </c>
      <c r="F5" s="5" t="s">
        <v>68</v>
      </c>
      <c r="G5" s="5" t="s">
        <v>69</v>
      </c>
      <c r="H5" s="5" t="s">
        <v>70</v>
      </c>
      <c r="I5" s="5" t="s">
        <v>71</v>
      </c>
      <c r="J5" s="5" t="s">
        <v>72</v>
      </c>
      <c r="K5" s="5" t="s">
        <v>73</v>
      </c>
      <c r="L5" s="5" t="s">
        <v>74</v>
      </c>
      <c r="M5" s="5" t="s">
        <v>75</v>
      </c>
    </row>
    <row r="6" customFormat="false" ht="15" hidden="false" customHeight="false" outlineLevel="0" collapsed="false">
      <c r="A6" s="14" t="s">
        <v>76</v>
      </c>
      <c r="B6" s="15" t="n">
        <v>5</v>
      </c>
      <c r="C6" s="15" t="n">
        <v>4</v>
      </c>
      <c r="D6" s="15" t="n">
        <v>4</v>
      </c>
      <c r="E6" s="15" t="n">
        <v>5</v>
      </c>
      <c r="F6" s="15" t="n">
        <v>4</v>
      </c>
      <c r="G6" s="15" t="n">
        <v>5</v>
      </c>
      <c r="H6" s="15" t="n">
        <v>3</v>
      </c>
      <c r="I6" s="15" t="n">
        <v>4</v>
      </c>
      <c r="J6" s="15" t="n">
        <v>5</v>
      </c>
      <c r="K6" s="15" t="n">
        <v>4</v>
      </c>
      <c r="L6" s="16" t="n">
        <f aca="false">SUMPRODUCT(B6:K6,B$4:K$4)</f>
        <v>4.35</v>
      </c>
      <c r="M6" s="17" t="n">
        <f aca="false">RANK(L6,$L$6:$L$14)</f>
        <v>1</v>
      </c>
    </row>
    <row r="7" customFormat="false" ht="15" hidden="false" customHeight="false" outlineLevel="0" collapsed="false">
      <c r="A7" s="14" t="s">
        <v>18</v>
      </c>
      <c r="B7" s="15" t="n">
        <v>5</v>
      </c>
      <c r="C7" s="15" t="n">
        <v>5</v>
      </c>
      <c r="D7" s="15" t="n">
        <v>4</v>
      </c>
      <c r="E7" s="15" t="n">
        <v>4</v>
      </c>
      <c r="F7" s="15" t="n">
        <v>3</v>
      </c>
      <c r="G7" s="15" t="n">
        <v>2</v>
      </c>
      <c r="H7" s="15" t="n">
        <v>3</v>
      </c>
      <c r="I7" s="15" t="n">
        <v>4</v>
      </c>
      <c r="J7" s="15" t="n">
        <v>2</v>
      </c>
      <c r="K7" s="15" t="n">
        <v>5</v>
      </c>
      <c r="L7" s="16" t="n">
        <f aca="false">SUMPRODUCT(B7:K7,B$4:K$4)</f>
        <v>3.81</v>
      </c>
      <c r="M7" s="17" t="n">
        <f aca="false">RANK(L7,$L$6:$L$14)</f>
        <v>2</v>
      </c>
    </row>
    <row r="8" customFormat="false" ht="15" hidden="false" customHeight="false" outlineLevel="0" collapsed="false">
      <c r="A8" s="14" t="s">
        <v>77</v>
      </c>
      <c r="B8" s="15" t="n">
        <v>4</v>
      </c>
      <c r="C8" s="15" t="n">
        <v>3</v>
      </c>
      <c r="D8" s="15" t="n">
        <v>4</v>
      </c>
      <c r="E8" s="15" t="n">
        <v>5</v>
      </c>
      <c r="F8" s="15" t="n">
        <v>3</v>
      </c>
      <c r="G8" s="15" t="n">
        <v>3</v>
      </c>
      <c r="H8" s="15" t="n">
        <v>3</v>
      </c>
      <c r="I8" s="15" t="n">
        <v>3</v>
      </c>
      <c r="J8" s="15" t="n">
        <v>3</v>
      </c>
      <c r="K8" s="15" t="n">
        <v>5</v>
      </c>
      <c r="L8" s="16" t="n">
        <f aca="false">SUMPRODUCT(B8:K8,B$4:K$4)</f>
        <v>3.6</v>
      </c>
      <c r="M8" s="17" t="n">
        <f aca="false">RANK(L8,$L$6:$L$14)</f>
        <v>4</v>
      </c>
    </row>
    <row r="9" customFormat="false" ht="15" hidden="false" customHeight="false" outlineLevel="0" collapsed="false">
      <c r="A9" s="14" t="s">
        <v>28</v>
      </c>
      <c r="B9" s="15" t="n">
        <v>3</v>
      </c>
      <c r="C9" s="15" t="n">
        <v>2</v>
      </c>
      <c r="D9" s="15" t="n">
        <v>5</v>
      </c>
      <c r="E9" s="15" t="n">
        <v>5</v>
      </c>
      <c r="F9" s="15" t="n">
        <v>2</v>
      </c>
      <c r="G9" s="15" t="n">
        <v>4</v>
      </c>
      <c r="H9" s="15" t="n">
        <v>4</v>
      </c>
      <c r="I9" s="15" t="n">
        <v>2</v>
      </c>
      <c r="J9" s="15" t="n">
        <v>4</v>
      </c>
      <c r="K9" s="15" t="n">
        <v>5</v>
      </c>
      <c r="L9" s="16" t="n">
        <f aca="false">SUMPRODUCT(B9:K9,B$4:K$4)</f>
        <v>3.53</v>
      </c>
      <c r="M9" s="17" t="n">
        <f aca="false">RANK(L9,$L$6:$L$14)</f>
        <v>5</v>
      </c>
    </row>
    <row r="10" customFormat="false" ht="15" hidden="false" customHeight="false" outlineLevel="0" collapsed="false">
      <c r="A10" s="14" t="s">
        <v>78</v>
      </c>
      <c r="B10" s="15" t="n">
        <v>5</v>
      </c>
      <c r="C10" s="15" t="n">
        <v>4</v>
      </c>
      <c r="D10" s="15" t="n">
        <v>2</v>
      </c>
      <c r="E10" s="15" t="n">
        <v>2</v>
      </c>
      <c r="F10" s="15" t="n">
        <v>4</v>
      </c>
      <c r="G10" s="15" t="n">
        <v>4</v>
      </c>
      <c r="H10" s="15" t="n">
        <v>2</v>
      </c>
      <c r="I10" s="15" t="n">
        <v>4</v>
      </c>
      <c r="J10" s="15" t="n">
        <v>5</v>
      </c>
      <c r="K10" s="15" t="n">
        <v>2</v>
      </c>
      <c r="L10" s="16" t="n">
        <f aca="false">SUMPRODUCT(B10:K10,B$4:K$4)</f>
        <v>3.53</v>
      </c>
      <c r="M10" s="17" t="n">
        <f aca="false">RANK(L10,$L$6:$L$14)</f>
        <v>5</v>
      </c>
    </row>
    <row r="11" customFormat="false" ht="15" hidden="false" customHeight="false" outlineLevel="0" collapsed="false">
      <c r="A11" s="14" t="s">
        <v>38</v>
      </c>
      <c r="B11" s="15" t="n">
        <v>4</v>
      </c>
      <c r="C11" s="15" t="n">
        <v>3</v>
      </c>
      <c r="D11" s="15" t="n">
        <v>2</v>
      </c>
      <c r="E11" s="15" t="n">
        <v>3</v>
      </c>
      <c r="F11" s="15" t="n">
        <v>4</v>
      </c>
      <c r="G11" s="15" t="n">
        <v>4</v>
      </c>
      <c r="H11" s="15" t="n">
        <v>3</v>
      </c>
      <c r="I11" s="15" t="n">
        <v>4</v>
      </c>
      <c r="J11" s="15" t="n">
        <v>3</v>
      </c>
      <c r="K11" s="15" t="n">
        <v>3</v>
      </c>
      <c r="L11" s="16" t="n">
        <f aca="false">SUMPRODUCT(B11:K11,B$4:K$4)</f>
        <v>3.36</v>
      </c>
      <c r="M11" s="17" t="n">
        <f aca="false">RANK(L11,$L$6:$L$14)</f>
        <v>8</v>
      </c>
    </row>
    <row r="12" customFormat="false" ht="15" hidden="false" customHeight="false" outlineLevel="0" collapsed="false">
      <c r="A12" s="14" t="s">
        <v>43</v>
      </c>
      <c r="B12" s="15" t="n">
        <v>5</v>
      </c>
      <c r="C12" s="15" t="n">
        <v>4</v>
      </c>
      <c r="D12" s="15" t="n">
        <v>4</v>
      </c>
      <c r="E12" s="15" t="n">
        <v>3</v>
      </c>
      <c r="F12" s="15" t="n">
        <v>3</v>
      </c>
      <c r="G12" s="15" t="n">
        <v>3</v>
      </c>
      <c r="H12" s="15" t="n">
        <v>3</v>
      </c>
      <c r="I12" s="15" t="n">
        <v>4</v>
      </c>
      <c r="J12" s="15" t="n">
        <v>2</v>
      </c>
      <c r="K12" s="15" t="n">
        <v>4</v>
      </c>
      <c r="L12" s="16" t="n">
        <f aca="false">SUMPRODUCT(B12:K12,B$4:K$4)</f>
        <v>3.66</v>
      </c>
      <c r="M12" s="17" t="n">
        <f aca="false">RANK(L12,$L$6:$L$14)</f>
        <v>3</v>
      </c>
    </row>
    <row r="13" customFormat="false" ht="15" hidden="false" customHeight="false" outlineLevel="0" collapsed="false">
      <c r="A13" s="14" t="s">
        <v>79</v>
      </c>
      <c r="B13" s="15" t="n">
        <v>4</v>
      </c>
      <c r="C13" s="15" t="n">
        <v>4</v>
      </c>
      <c r="D13" s="15" t="n">
        <v>3</v>
      </c>
      <c r="E13" s="15" t="n">
        <v>2</v>
      </c>
      <c r="F13" s="15" t="n">
        <v>4</v>
      </c>
      <c r="G13" s="15" t="n">
        <v>4</v>
      </c>
      <c r="H13" s="15" t="n">
        <v>3</v>
      </c>
      <c r="I13" s="15" t="n">
        <v>4</v>
      </c>
      <c r="J13" s="15" t="n">
        <v>4</v>
      </c>
      <c r="K13" s="15" t="n">
        <v>3</v>
      </c>
      <c r="L13" s="16" t="n">
        <f aca="false">SUMPRODUCT(B13:K13,B$4:K$4)</f>
        <v>3.53</v>
      </c>
      <c r="M13" s="17" t="n">
        <f aca="false">RANK(L13,$L$6:$L$14)</f>
        <v>5</v>
      </c>
    </row>
    <row r="14" customFormat="false" ht="15" hidden="false" customHeight="false" outlineLevel="0" collapsed="false">
      <c r="A14" s="14" t="s">
        <v>80</v>
      </c>
      <c r="B14" s="15" t="n">
        <v>0</v>
      </c>
      <c r="C14" s="15" t="n">
        <v>3</v>
      </c>
      <c r="D14" s="15" t="n">
        <v>4</v>
      </c>
      <c r="E14" s="15" t="n">
        <v>5</v>
      </c>
      <c r="F14" s="15" t="n">
        <v>3</v>
      </c>
      <c r="G14" s="15" t="n">
        <v>5</v>
      </c>
      <c r="H14" s="15" t="n">
        <v>4</v>
      </c>
      <c r="I14" s="15" t="n">
        <v>2</v>
      </c>
      <c r="J14" s="15" t="n">
        <v>5</v>
      </c>
      <c r="K14" s="15" t="n">
        <v>3</v>
      </c>
      <c r="L14" s="16" t="n">
        <f aca="false">SUMPRODUCT(B14:K14,B$4:K$4)</f>
        <v>3.08</v>
      </c>
      <c r="M14" s="17" t="n">
        <f aca="false">RANK(L14,$L$6:$L$14)</f>
        <v>9</v>
      </c>
    </row>
    <row r="17" customFormat="false" ht="15" hidden="false" customHeight="false" outlineLevel="0" collapsed="false">
      <c r="A17" s="18" t="s">
        <v>81</v>
      </c>
    </row>
    <row r="18" customFormat="false" ht="15" hidden="false" customHeight="false" outlineLevel="0" collapsed="false">
      <c r="A18" s="19" t="s">
        <v>82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customFormat="false" ht="15" hidden="false" customHeight="false" outlineLevel="0" collapsed="false">
      <c r="A19" s="19" t="s">
        <v>83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customFormat="false" ht="15" hidden="false" customHeight="false" outlineLevel="0" collapsed="false">
      <c r="A20" s="19" t="s">
        <v>84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customFormat="false" ht="15" hidden="false" customHeight="false" outlineLevel="0" collapsed="false">
      <c r="A21" s="19" t="s">
        <v>85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customFormat="false" ht="15" hidden="false" customHeight="false" outlineLevel="0" collapsed="false">
      <c r="A22" s="19" t="s">
        <v>86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customFormat="false" ht="15" hidden="false" customHeight="false" outlineLevel="0" collapsed="false">
      <c r="A23" s="19" t="s">
        <v>87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</row>
  </sheetData>
  <mergeCells count="8">
    <mergeCell ref="A1:K1"/>
    <mergeCell ref="A2:K2"/>
    <mergeCell ref="A18:M18"/>
    <mergeCell ref="A19:M19"/>
    <mergeCell ref="A20:M20"/>
    <mergeCell ref="A21:M21"/>
    <mergeCell ref="A22:M22"/>
    <mergeCell ref="A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4" min="3" style="0" width="55"/>
  </cols>
  <sheetData>
    <row r="1" customFormat="false" ht="22.05" hidden="false" customHeight="false" outlineLevel="0" collapsed="false">
      <c r="A1" s="1" t="s">
        <v>88</v>
      </c>
      <c r="B1" s="1"/>
      <c r="C1" s="1"/>
      <c r="D1" s="1"/>
    </row>
    <row r="2" customFormat="false" ht="15" hidden="false" customHeight="false" outlineLevel="0" collapsed="false">
      <c r="A2" s="2" t="s">
        <v>89</v>
      </c>
      <c r="B2" s="2"/>
      <c r="C2" s="2"/>
      <c r="D2" s="2"/>
    </row>
    <row r="4" customFormat="false" ht="31.5" hidden="false" customHeight="true" outlineLevel="0" collapsed="false">
      <c r="A4" s="5" t="s">
        <v>7</v>
      </c>
      <c r="B4" s="5" t="s">
        <v>90</v>
      </c>
      <c r="C4" s="5" t="s">
        <v>91</v>
      </c>
      <c r="D4" s="5" t="s">
        <v>92</v>
      </c>
    </row>
    <row r="5" customFormat="false" ht="60" hidden="false" customHeight="true" outlineLevel="0" collapsed="false">
      <c r="A5" s="6" t="s">
        <v>93</v>
      </c>
      <c r="B5" s="6" t="s">
        <v>94</v>
      </c>
      <c r="C5" s="6" t="s">
        <v>95</v>
      </c>
      <c r="D5" s="6" t="s">
        <v>96</v>
      </c>
    </row>
    <row r="6" customFormat="false" ht="60" hidden="false" customHeight="true" outlineLevel="0" collapsed="false">
      <c r="A6" s="6" t="s">
        <v>97</v>
      </c>
      <c r="B6" s="6" t="s">
        <v>98</v>
      </c>
      <c r="C6" s="6" t="s">
        <v>99</v>
      </c>
      <c r="D6" s="6" t="s">
        <v>100</v>
      </c>
    </row>
    <row r="7" customFormat="false" ht="60" hidden="false" customHeight="true" outlineLevel="0" collapsed="false">
      <c r="A7" s="6" t="s">
        <v>101</v>
      </c>
      <c r="B7" s="6" t="s">
        <v>98</v>
      </c>
      <c r="C7" s="6" t="s">
        <v>102</v>
      </c>
      <c r="D7" s="6" t="s">
        <v>103</v>
      </c>
    </row>
    <row r="8" customFormat="false" ht="60" hidden="false" customHeight="true" outlineLevel="0" collapsed="false">
      <c r="A8" s="6" t="s">
        <v>104</v>
      </c>
      <c r="B8" s="6" t="s">
        <v>105</v>
      </c>
      <c r="C8" s="6" t="s">
        <v>106</v>
      </c>
      <c r="D8" s="6" t="s">
        <v>107</v>
      </c>
    </row>
    <row r="9" customFormat="false" ht="60" hidden="false" customHeight="true" outlineLevel="0" collapsed="false">
      <c r="A9" s="6" t="s">
        <v>108</v>
      </c>
      <c r="B9" s="6" t="s">
        <v>109</v>
      </c>
      <c r="C9" s="6" t="s">
        <v>110</v>
      </c>
      <c r="D9" s="6" t="s">
        <v>111</v>
      </c>
    </row>
    <row r="10" customFormat="false" ht="60" hidden="false" customHeight="true" outlineLevel="0" collapsed="false">
      <c r="A10" s="6" t="s">
        <v>33</v>
      </c>
      <c r="B10" s="6" t="s">
        <v>112</v>
      </c>
      <c r="C10" s="6" t="s">
        <v>113</v>
      </c>
      <c r="D10" s="6" t="s">
        <v>114</v>
      </c>
    </row>
    <row r="11" customFormat="false" ht="60" hidden="false" customHeight="true" outlineLevel="0" collapsed="false">
      <c r="A11" s="6" t="s">
        <v>115</v>
      </c>
      <c r="B11" s="6" t="s">
        <v>116</v>
      </c>
      <c r="C11" s="6" t="s">
        <v>117</v>
      </c>
      <c r="D11" s="6" t="s">
        <v>118</v>
      </c>
    </row>
    <row r="12" customFormat="false" ht="60" hidden="false" customHeight="true" outlineLevel="0" collapsed="false">
      <c r="A12" s="6" t="s">
        <v>119</v>
      </c>
      <c r="B12" s="6" t="s">
        <v>120</v>
      </c>
      <c r="C12" s="6" t="s">
        <v>121</v>
      </c>
      <c r="D12" s="6" t="s">
        <v>122</v>
      </c>
    </row>
    <row r="13" customFormat="false" ht="60" hidden="false" customHeight="true" outlineLevel="0" collapsed="false">
      <c r="A13" s="6" t="s">
        <v>48</v>
      </c>
      <c r="B13" s="6" t="s">
        <v>123</v>
      </c>
      <c r="C13" s="6" t="s">
        <v>124</v>
      </c>
      <c r="D13" s="6" t="s">
        <v>125</v>
      </c>
    </row>
    <row r="14" customFormat="false" ht="60" hidden="false" customHeight="true" outlineLevel="0" collapsed="false">
      <c r="A14" s="6" t="s">
        <v>126</v>
      </c>
      <c r="B14" s="6" t="s">
        <v>127</v>
      </c>
      <c r="C14" s="6" t="s">
        <v>128</v>
      </c>
      <c r="D14" s="6" t="s">
        <v>129</v>
      </c>
    </row>
    <row r="15" customFormat="false" ht="60" hidden="false" customHeight="true" outlineLevel="0" collapsed="false">
      <c r="A15" s="6" t="s">
        <v>130</v>
      </c>
      <c r="B15" s="6" t="s">
        <v>131</v>
      </c>
      <c r="C15" s="6" t="s">
        <v>132</v>
      </c>
      <c r="D15" s="6" t="s">
        <v>133</v>
      </c>
    </row>
    <row r="16" customFormat="false" ht="60" hidden="false" customHeight="true" outlineLevel="0" collapsed="false">
      <c r="A16" s="6" t="s">
        <v>134</v>
      </c>
      <c r="B16" s="6" t="s">
        <v>135</v>
      </c>
      <c r="C16" s="6" t="s">
        <v>136</v>
      </c>
      <c r="D16" s="6" t="s">
        <v>137</v>
      </c>
    </row>
    <row r="17" customFormat="false" ht="60" hidden="false" customHeight="true" outlineLevel="0" collapsed="false">
      <c r="A17" s="6" t="s">
        <v>138</v>
      </c>
      <c r="B17" s="6" t="s">
        <v>139</v>
      </c>
      <c r="C17" s="6" t="s">
        <v>140</v>
      </c>
      <c r="D17" s="6" t="s">
        <v>141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20"/>
  </cols>
  <sheetData>
    <row r="1" customFormat="false" ht="22.05" hidden="false" customHeight="false" outlineLevel="0" collapsed="false">
      <c r="A1" s="1" t="s">
        <v>142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143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144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20" t="s">
        <v>145</v>
      </c>
      <c r="B5" s="20" t="s">
        <v>146</v>
      </c>
      <c r="C5" s="20" t="s">
        <v>147</v>
      </c>
      <c r="D5" s="20" t="s">
        <v>148</v>
      </c>
      <c r="E5" s="20"/>
      <c r="F5" s="20"/>
    </row>
    <row r="6" customFormat="false" ht="15" hidden="false" customHeight="true" outlineLevel="0" collapsed="false">
      <c r="A6" s="6" t="s">
        <v>149</v>
      </c>
      <c r="B6" s="15" t="n">
        <v>5</v>
      </c>
      <c r="C6" s="7" t="s">
        <v>150</v>
      </c>
      <c r="D6" s="6" t="s">
        <v>151</v>
      </c>
      <c r="E6" s="6"/>
      <c r="F6" s="6"/>
    </row>
    <row r="7" customFormat="false" ht="15" hidden="false" customHeight="true" outlineLevel="0" collapsed="false">
      <c r="A7" s="6" t="s">
        <v>152</v>
      </c>
      <c r="B7" s="15" t="n">
        <v>10</v>
      </c>
      <c r="C7" s="7" t="s">
        <v>150</v>
      </c>
      <c r="D7" s="6" t="s">
        <v>153</v>
      </c>
      <c r="E7" s="6"/>
      <c r="F7" s="6"/>
    </row>
    <row r="8" customFormat="false" ht="15" hidden="false" customHeight="true" outlineLevel="0" collapsed="false">
      <c r="A8" s="6" t="s">
        <v>154</v>
      </c>
      <c r="B8" s="15" t="n">
        <v>1500</v>
      </c>
      <c r="C8" s="7" t="s">
        <v>155</v>
      </c>
      <c r="D8" s="6" t="s">
        <v>156</v>
      </c>
      <c r="E8" s="6"/>
      <c r="F8" s="6"/>
    </row>
    <row r="9" customFormat="false" ht="15" hidden="false" customHeight="true" outlineLevel="0" collapsed="false">
      <c r="A9" s="6" t="s">
        <v>157</v>
      </c>
      <c r="B9" s="15" t="n">
        <v>10000</v>
      </c>
      <c r="C9" s="7" t="s">
        <v>158</v>
      </c>
      <c r="D9" s="6" t="s">
        <v>159</v>
      </c>
      <c r="E9" s="6"/>
      <c r="F9" s="6"/>
    </row>
    <row r="10" customFormat="false" ht="15" hidden="false" customHeight="true" outlineLevel="0" collapsed="false">
      <c r="A10" s="6" t="s">
        <v>160</v>
      </c>
      <c r="B10" s="21" t="n">
        <v>0</v>
      </c>
      <c r="C10" s="7" t="s">
        <v>161</v>
      </c>
      <c r="D10" s="6" t="s">
        <v>162</v>
      </c>
      <c r="E10" s="6"/>
      <c r="F10" s="6"/>
    </row>
    <row r="13" customFormat="false" ht="15" hidden="false" customHeight="true" outlineLevel="0" collapsed="false">
      <c r="A13" s="3" t="s">
        <v>163</v>
      </c>
      <c r="B13" s="3"/>
      <c r="C13" s="3"/>
      <c r="D13" s="3"/>
      <c r="E13" s="3"/>
      <c r="F13" s="3"/>
    </row>
    <row r="14" customFormat="false" ht="31.5" hidden="false" customHeight="true" outlineLevel="0" collapsed="false">
      <c r="A14" s="5" t="s">
        <v>7</v>
      </c>
      <c r="B14" s="5" t="s">
        <v>164</v>
      </c>
      <c r="C14" s="5" t="s">
        <v>165</v>
      </c>
      <c r="D14" s="5" t="s">
        <v>166</v>
      </c>
      <c r="E14" s="5" t="s">
        <v>148</v>
      </c>
    </row>
    <row r="15" customFormat="false" ht="42" hidden="false" customHeight="true" outlineLevel="0" collapsed="false">
      <c r="A15" s="14" t="s">
        <v>167</v>
      </c>
      <c r="B15" s="22" t="n">
        <v>599</v>
      </c>
      <c r="C15" s="23" t="n">
        <v>0.02</v>
      </c>
      <c r="D15" s="24" t="n">
        <f aca="false">B15+C15*$B9</f>
        <v>799</v>
      </c>
      <c r="E15" s="6" t="s">
        <v>168</v>
      </c>
      <c r="F15" s="6"/>
    </row>
    <row r="16" customFormat="false" ht="42" hidden="false" customHeight="true" outlineLevel="0" collapsed="false">
      <c r="A16" s="14" t="s">
        <v>169</v>
      </c>
      <c r="B16" s="22" t="n">
        <v>150</v>
      </c>
      <c r="C16" s="23" t="n">
        <v>0.04</v>
      </c>
      <c r="D16" s="24" t="n">
        <f aca="false">B16+C16*$B9</f>
        <v>550</v>
      </c>
      <c r="E16" s="6" t="s">
        <v>170</v>
      </c>
      <c r="F16" s="6"/>
    </row>
    <row r="17" customFormat="false" ht="42" hidden="false" customHeight="true" outlineLevel="0" collapsed="false">
      <c r="A17" s="14" t="s">
        <v>171</v>
      </c>
      <c r="B17" s="22" t="n">
        <v>50</v>
      </c>
      <c r="C17" s="23" t="n">
        <v>0.05</v>
      </c>
      <c r="D17" s="24" t="n">
        <f aca="false">B17+C17*$B9</f>
        <v>550</v>
      </c>
      <c r="E17" s="6" t="s">
        <v>172</v>
      </c>
      <c r="F17" s="6"/>
    </row>
    <row r="18" customFormat="false" ht="42" hidden="false" customHeight="true" outlineLevel="0" collapsed="false">
      <c r="A18" s="14" t="s">
        <v>173</v>
      </c>
      <c r="B18" s="22" t="n">
        <v>25</v>
      </c>
      <c r="C18" s="23" t="n">
        <v>0.05</v>
      </c>
      <c r="D18" s="24" t="n">
        <f aca="false">B18+C18*$B9</f>
        <v>525</v>
      </c>
      <c r="E18" s="6" t="s">
        <v>174</v>
      </c>
      <c r="F18" s="6"/>
    </row>
    <row r="19" customFormat="false" ht="42" hidden="false" customHeight="true" outlineLevel="0" collapsed="false">
      <c r="A19" s="14" t="s">
        <v>78</v>
      </c>
      <c r="B19" s="22" t="n">
        <v>499</v>
      </c>
      <c r="C19" s="23" t="n">
        <v>0.03</v>
      </c>
      <c r="D19" s="24" t="n">
        <f aca="false">B19+C19*$B9</f>
        <v>799</v>
      </c>
      <c r="E19" s="6" t="s">
        <v>175</v>
      </c>
      <c r="F19" s="6"/>
    </row>
    <row r="20" customFormat="false" ht="42" hidden="false" customHeight="true" outlineLevel="0" collapsed="false">
      <c r="A20" s="14" t="s">
        <v>38</v>
      </c>
      <c r="B20" s="22" t="n">
        <v>200</v>
      </c>
      <c r="C20" s="23" t="n">
        <v>0.025</v>
      </c>
      <c r="D20" s="24" t="n">
        <f aca="false">B20+C20*$B9</f>
        <v>450</v>
      </c>
      <c r="E20" s="6" t="s">
        <v>176</v>
      </c>
      <c r="F20" s="6"/>
    </row>
    <row r="21" customFormat="false" ht="42" hidden="false" customHeight="true" outlineLevel="0" collapsed="false">
      <c r="A21" s="14" t="s">
        <v>177</v>
      </c>
      <c r="B21" s="22" t="n">
        <v>200</v>
      </c>
      <c r="C21" s="23" t="n">
        <v>0.04</v>
      </c>
      <c r="D21" s="24" t="n">
        <f aca="false">B21+C21*$B9</f>
        <v>600</v>
      </c>
      <c r="E21" s="6" t="s">
        <v>178</v>
      </c>
      <c r="F21" s="6"/>
    </row>
    <row r="22" customFormat="false" ht="42" hidden="false" customHeight="true" outlineLevel="0" collapsed="false">
      <c r="A22" s="14" t="s">
        <v>179</v>
      </c>
      <c r="B22" s="22" t="n">
        <v>250</v>
      </c>
      <c r="C22" s="23" t="n">
        <v>0.02</v>
      </c>
      <c r="D22" s="24" t="n">
        <f aca="false">B22+C22*$B9</f>
        <v>450</v>
      </c>
      <c r="E22" s="6" t="s">
        <v>180</v>
      </c>
      <c r="F22" s="6"/>
    </row>
    <row r="26" customFormat="false" ht="15" hidden="false" customHeight="true" outlineLevel="0" collapsed="false">
      <c r="A26" s="3" t="s">
        <v>181</v>
      </c>
      <c r="B26" s="3"/>
      <c r="C26" s="3"/>
      <c r="D26" s="3"/>
      <c r="E26" s="3"/>
      <c r="F26" s="3"/>
    </row>
    <row r="27" customFormat="false" ht="31.5" hidden="false" customHeight="true" outlineLevel="0" collapsed="false">
      <c r="A27" s="5" t="s">
        <v>7</v>
      </c>
      <c r="B27" s="5" t="s">
        <v>182</v>
      </c>
      <c r="C27" s="5" t="s">
        <v>183</v>
      </c>
      <c r="D27" s="5" t="s">
        <v>184</v>
      </c>
    </row>
    <row r="28" customFormat="false" ht="21.75" hidden="false" customHeight="true" outlineLevel="0" collapsed="false">
      <c r="A28" s="14" t="s">
        <v>167</v>
      </c>
      <c r="B28" s="24" t="n">
        <f aca="false">B15+C15*10000</f>
        <v>799</v>
      </c>
      <c r="C28" s="24" t="n">
        <f aca="false">B15+C15*100000</f>
        <v>2599</v>
      </c>
      <c r="D28" s="24" t="n">
        <f aca="false">B15+C15*1000000</f>
        <v>20599</v>
      </c>
    </row>
    <row r="29" customFormat="false" ht="21.75" hidden="false" customHeight="true" outlineLevel="0" collapsed="false">
      <c r="A29" s="14" t="s">
        <v>169</v>
      </c>
      <c r="B29" s="24" t="n">
        <f aca="false">B16+C16*10000</f>
        <v>550</v>
      </c>
      <c r="C29" s="24" t="n">
        <f aca="false">B16+C16*100000</f>
        <v>4150</v>
      </c>
      <c r="D29" s="24" t="n">
        <f aca="false">B16+C16*1000000</f>
        <v>40150</v>
      </c>
    </row>
    <row r="30" customFormat="false" ht="21.75" hidden="false" customHeight="true" outlineLevel="0" collapsed="false">
      <c r="A30" s="14" t="s">
        <v>171</v>
      </c>
      <c r="B30" s="24" t="n">
        <f aca="false">B17+C17*10000</f>
        <v>550</v>
      </c>
      <c r="C30" s="24" t="n">
        <f aca="false">B17+C17*100000</f>
        <v>5050</v>
      </c>
      <c r="D30" s="24" t="n">
        <f aca="false">B17+C17*1000000</f>
        <v>50050</v>
      </c>
    </row>
    <row r="31" customFormat="false" ht="21.75" hidden="false" customHeight="true" outlineLevel="0" collapsed="false">
      <c r="A31" s="14" t="s">
        <v>173</v>
      </c>
      <c r="B31" s="24" t="n">
        <f aca="false">B18+C18*10000</f>
        <v>525</v>
      </c>
      <c r="C31" s="24" t="n">
        <f aca="false">B18+C18*100000</f>
        <v>5025</v>
      </c>
      <c r="D31" s="24" t="n">
        <f aca="false">B18+C18*1000000</f>
        <v>50025</v>
      </c>
    </row>
    <row r="32" customFormat="false" ht="21.75" hidden="false" customHeight="true" outlineLevel="0" collapsed="false">
      <c r="A32" s="14" t="s">
        <v>78</v>
      </c>
      <c r="B32" s="24" t="n">
        <f aca="false">B19+C19*10000</f>
        <v>799</v>
      </c>
      <c r="C32" s="24" t="n">
        <f aca="false">B19+C19*100000</f>
        <v>3499</v>
      </c>
      <c r="D32" s="24" t="n">
        <f aca="false">B19+C19*1000000</f>
        <v>30499</v>
      </c>
    </row>
    <row r="33" customFormat="false" ht="21.75" hidden="false" customHeight="true" outlineLevel="0" collapsed="false">
      <c r="A33" s="14" t="s">
        <v>38</v>
      </c>
      <c r="B33" s="24" t="n">
        <f aca="false">B20+C20*10000</f>
        <v>450</v>
      </c>
      <c r="C33" s="24" t="n">
        <f aca="false">B20+C20*100000</f>
        <v>2700</v>
      </c>
      <c r="D33" s="24" t="n">
        <f aca="false">B20+C20*1000000</f>
        <v>25200</v>
      </c>
    </row>
    <row r="34" customFormat="false" ht="21.75" hidden="false" customHeight="true" outlineLevel="0" collapsed="false">
      <c r="A34" s="14" t="s">
        <v>177</v>
      </c>
      <c r="B34" s="24" t="n">
        <f aca="false">B21+C21*10000</f>
        <v>600</v>
      </c>
      <c r="C34" s="24" t="n">
        <f aca="false">B21+C21*100000</f>
        <v>4200</v>
      </c>
      <c r="D34" s="24" t="n">
        <f aca="false">B21+C21*1000000</f>
        <v>40200</v>
      </c>
    </row>
    <row r="35" customFormat="false" ht="21.75" hidden="false" customHeight="true" outlineLevel="0" collapsed="false">
      <c r="A35" s="14" t="s">
        <v>179</v>
      </c>
      <c r="B35" s="24" t="n">
        <f aca="false">B22+C22*10000</f>
        <v>450</v>
      </c>
      <c r="C35" s="24" t="n">
        <f aca="false">B22+C22*100000</f>
        <v>2250</v>
      </c>
      <c r="D35" s="24" t="n">
        <f aca="false">B22+C22*1000000</f>
        <v>20250</v>
      </c>
    </row>
  </sheetData>
  <mergeCells count="19">
    <mergeCell ref="A1:F1"/>
    <mergeCell ref="A2:F2"/>
    <mergeCell ref="A4:F4"/>
    <mergeCell ref="D5:F5"/>
    <mergeCell ref="D6:F6"/>
    <mergeCell ref="D7:F7"/>
    <mergeCell ref="D8:F8"/>
    <mergeCell ref="D9:F9"/>
    <mergeCell ref="D10:F10"/>
    <mergeCell ref="A13:F13"/>
    <mergeCell ref="E15:F15"/>
    <mergeCell ref="E16:F16"/>
    <mergeCell ref="E17:F17"/>
    <mergeCell ref="E18:F18"/>
    <mergeCell ref="E19:F19"/>
    <mergeCell ref="E20:F20"/>
    <mergeCell ref="E21:F21"/>
    <mergeCell ref="E22:F22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30"/>
  </cols>
  <sheetData>
    <row r="1" customFormat="false" ht="22.05" hidden="false" customHeight="false" outlineLevel="0" collapsed="false">
      <c r="A1" s="1" t="s">
        <v>185</v>
      </c>
      <c r="B1" s="1"/>
      <c r="C1" s="1"/>
    </row>
    <row r="2" customFormat="false" ht="15" hidden="false" customHeight="false" outlineLevel="0" collapsed="false">
      <c r="A2" s="2" t="s">
        <v>186</v>
      </c>
      <c r="B2" s="2"/>
      <c r="C2" s="2"/>
    </row>
    <row r="4" customFormat="false" ht="60" hidden="false" customHeight="true" outlineLevel="0" collapsed="false">
      <c r="A4" s="25" t="s">
        <v>187</v>
      </c>
      <c r="B4" s="6" t="s">
        <v>188</v>
      </c>
      <c r="C4" s="6"/>
    </row>
    <row r="5" customFormat="false" ht="60" hidden="false" customHeight="true" outlineLevel="0" collapsed="false">
      <c r="A5" s="25" t="s">
        <v>189</v>
      </c>
      <c r="B5" s="6" t="s">
        <v>190</v>
      </c>
      <c r="C5" s="6"/>
    </row>
    <row r="6" customFormat="false" ht="60" hidden="false" customHeight="true" outlineLevel="0" collapsed="false">
      <c r="A6" s="25" t="s">
        <v>191</v>
      </c>
      <c r="B6" s="6" t="s">
        <v>192</v>
      </c>
      <c r="C6" s="6"/>
    </row>
    <row r="7" customFormat="false" ht="60" hidden="false" customHeight="true" outlineLevel="0" collapsed="false">
      <c r="A7" s="25" t="s">
        <v>48</v>
      </c>
      <c r="B7" s="6" t="s">
        <v>193</v>
      </c>
      <c r="C7" s="6"/>
    </row>
    <row r="8" customFormat="false" ht="60" hidden="false" customHeight="true" outlineLevel="0" collapsed="false">
      <c r="A8" s="25" t="s">
        <v>194</v>
      </c>
      <c r="B8" s="6" t="s">
        <v>195</v>
      </c>
      <c r="C8" s="6"/>
    </row>
    <row r="9" customFormat="false" ht="60" hidden="false" customHeight="true" outlineLevel="0" collapsed="false">
      <c r="A9" s="25" t="s">
        <v>196</v>
      </c>
      <c r="B9" s="6" t="s">
        <v>197</v>
      </c>
      <c r="C9" s="6"/>
    </row>
    <row r="10" customFormat="false" ht="60" hidden="false" customHeight="true" outlineLevel="0" collapsed="false">
      <c r="A10" s="25" t="s">
        <v>198</v>
      </c>
      <c r="B10" s="6" t="s">
        <v>199</v>
      </c>
      <c r="C10" s="6"/>
    </row>
  </sheetData>
  <mergeCells count="9">
    <mergeCell ref="A1:C1"/>
    <mergeCell ref="A2:C2"/>
    <mergeCell ref="B4:C4"/>
    <mergeCell ref="B5:C5"/>
    <mergeCell ref="B6:C6"/>
    <mergeCell ref="B7:C7"/>
    <mergeCell ref="B8:C8"/>
    <mergeCell ref="B9:C9"/>
    <mergeCell ref="B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2026-04-20T14:42:51Z</dcterms:created>
  <dc:creator>openpyxl</dc:creator>
  <dc:description/>
  <dc:language>en-US</dc:language>
  <cp:lastModifiedBy/>
  <dcterms:modified xsi:type="dcterms:W3CDTF">2026-04-20T14:42:52Z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